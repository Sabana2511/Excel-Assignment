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3FDBEA6-E60C-4B3F-87F5-D0879B8456B7}" xr6:coauthVersionLast="44" xr6:coauthVersionMax="44" xr10:uidLastSave="{00000000-0000-0000-0000-000000000000}"/>
  <bookViews>
    <workbookView xWindow="-108" yWindow="-108" windowWidth="23256" windowHeight="12576" activeTab="1" xr2:uid="{00000000-000D-0000-FFFF-FFFF00000000}"/>
  </bookViews>
  <sheets>
    <sheet name="Tasks" sheetId="3" r:id="rId1"/>
    <sheet name="ASSIGNMENT" sheetId="1" r:id="rId2"/>
  </sheets>
  <definedNames>
    <definedName name="_xlnm._FilterDatabase" localSheetId="1" hidden="1">ASSIGNMENT!#REF!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N7" i="1" l="1"/>
  <c r="N17" i="1"/>
  <c r="N18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N8" i="1"/>
  <c r="N6" i="1"/>
  <c r="N12" i="1"/>
  <c r="N13" i="1"/>
</calcChain>
</file>

<file path=xl/sharedStrings.xml><?xml version="1.0" encoding="utf-8"?>
<sst xmlns="http://schemas.openxmlformats.org/spreadsheetml/2006/main" count="202" uniqueCount="147">
  <si>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</si>
  <si>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</si>
  <si>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</si>
  <si>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</si>
  <si>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</si>
  <si>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</si>
  <si>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</si>
  <si>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</si>
  <si>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</si>
  <si>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</si>
  <si>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</si>
  <si>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</si>
  <si>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</si>
  <si>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</si>
  <si>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</si>
  <si>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</si>
  <si>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</si>
  <si>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</si>
  <si>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</si>
  <si>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</si>
  <si>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</si>
  <si>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</si>
  <si>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</si>
  <si>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</si>
  <si>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</si>
  <si>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</si>
  <si>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</si>
  <si>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</si>
  <si>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</si>
  <si>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</si>
  <si>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</si>
  <si>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</si>
  <si>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</si>
  <si>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</si>
  <si>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</si>
  <si>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</si>
  <si>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</si>
  <si>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</si>
  <si>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</si>
  <si>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</si>
  <si>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</si>
  <si>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</si>
  <si>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</si>
  <si>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</si>
  <si>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</si>
  <si>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</si>
  <si>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</si>
  <si>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</si>
  <si>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</si>
  <si>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</si>
  <si>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</si>
  <si>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</si>
  <si>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</si>
  <si>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</si>
  <si>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</si>
  <si>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</si>
  <si>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</si>
  <si>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</si>
  <si>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</si>
  <si>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</si>
  <si>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</si>
  <si>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</si>
  <si>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</si>
  <si>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</si>
  <si>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</si>
  <si>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</si>
  <si>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</si>
  <si>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</si>
  <si>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</si>
  <si>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</si>
  <si>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</si>
  <si>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</si>
  <si>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</si>
  <si>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</si>
  <si>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</si>
  <si>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</si>
  <si>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</si>
  <si>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</si>
  <si>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</si>
  <si>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</si>
  <si>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</si>
  <si>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</si>
  <si>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</si>
  <si>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</si>
  <si>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</si>
  <si>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</si>
  <si>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</si>
  <si>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</si>
  <si>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</si>
  <si>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</si>
  <si>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</si>
  <si>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</si>
  <si>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</si>
  <si>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Total price of all products </t>
  </si>
  <si>
    <t>Average price of the products</t>
  </si>
  <si>
    <t>Basic Data Exploration</t>
  </si>
  <si>
    <t xml:space="preserve">Maximum price </t>
  </si>
  <si>
    <t xml:space="preserve">Minimum price </t>
  </si>
  <si>
    <t>Tasks:</t>
  </si>
  <si>
    <t>Price Range</t>
  </si>
  <si>
    <t>Data Analytics (DA)</t>
  </si>
  <si>
    <t>Module -1 - Excel</t>
  </si>
  <si>
    <t>Excel Assignment 1 – Data Exploration</t>
  </si>
  <si>
    <t>Dataset Description</t>
  </si>
  <si>
    <r>
      <t xml:space="preserve">Dataset: </t>
    </r>
    <r>
      <rPr>
        <b/>
        <u/>
        <sz val="14"/>
        <color rgb="FF1154CC"/>
        <rFont val="Calibri"/>
        <family val="2"/>
      </rPr>
      <t>Product Dataset</t>
    </r>
  </si>
  <si>
    <r>
      <rPr>
        <b/>
        <sz val="12"/>
        <rFont val="Calibri"/>
        <family val="2"/>
      </rPr>
      <t xml:space="preserve">Attributes: </t>
    </r>
    <r>
      <rPr>
        <i/>
        <sz val="12"/>
        <rFont val="Calibri"/>
        <family val="2"/>
      </rPr>
      <t>Product ID, Product Name, Brand Name, Quantity, Category, Price</t>
    </r>
  </si>
  <si>
    <r>
      <rPr>
        <b/>
        <sz val="12"/>
        <color rgb="FF424242"/>
        <rFont val="Calibri"/>
        <family val="2"/>
      </rPr>
      <t xml:space="preserve">1.   </t>
    </r>
    <r>
      <rPr>
        <b/>
        <sz val="12"/>
        <rFont val="Calibri"/>
        <family val="2"/>
      </rPr>
      <t>Sum, Count, and Average</t>
    </r>
  </si>
  <si>
    <t>Perform the following calculations using Excel functions:</t>
  </si>
  <si>
    <r>
      <t xml:space="preserve">●   Calculate the </t>
    </r>
    <r>
      <rPr>
        <b/>
        <sz val="12"/>
        <rFont val="Calibri"/>
        <family val="2"/>
      </rPr>
      <t xml:space="preserve">total price of all products </t>
    </r>
    <r>
      <rPr>
        <sz val="12"/>
        <rFont val="Calibri"/>
        <family val="2"/>
      </rPr>
      <t xml:space="preserve">in the dataset.
●   Determine </t>
    </r>
    <r>
      <rPr>
        <b/>
        <sz val="12"/>
        <rFont val="Calibri"/>
        <family val="2"/>
      </rPr>
      <t xml:space="preserve">how many products exist in the dataset.
</t>
    </r>
    <r>
      <rPr>
        <sz val="12"/>
        <rFont val="Calibri"/>
        <family val="2"/>
      </rPr>
      <t xml:space="preserve">●   Calculate the </t>
    </r>
    <r>
      <rPr>
        <b/>
        <sz val="12"/>
        <rFont val="Calibri"/>
        <family val="2"/>
      </rPr>
      <t>average price of the products</t>
    </r>
    <r>
      <rPr>
        <sz val="12"/>
        <rFont val="Calibri"/>
        <family val="2"/>
      </rPr>
      <t>.</t>
    </r>
  </si>
  <si>
    <r>
      <rPr>
        <b/>
        <sz val="12"/>
        <color rgb="FF424242"/>
        <rFont val="Calibri"/>
        <family val="2"/>
      </rPr>
      <t xml:space="preserve">2.   </t>
    </r>
    <r>
      <rPr>
        <b/>
        <sz val="12"/>
        <rFont val="Calibri"/>
        <family val="2"/>
      </rPr>
      <t>Minimum and Maximum Values</t>
    </r>
  </si>
  <si>
    <r>
      <t xml:space="preserve">Using Excel functions:
●   Identify the </t>
    </r>
    <r>
      <rPr>
        <b/>
        <sz val="12"/>
        <rFont val="Calibri"/>
        <family val="2"/>
      </rPr>
      <t xml:space="preserve">minimum price </t>
    </r>
    <r>
      <rPr>
        <sz val="12"/>
        <rFont val="Calibri"/>
        <family val="2"/>
      </rPr>
      <t xml:space="preserve">among all products.
●   Identify the </t>
    </r>
    <r>
      <rPr>
        <b/>
        <sz val="12"/>
        <rFont val="Calibri"/>
        <family val="2"/>
      </rPr>
      <t xml:space="preserve">maximum price </t>
    </r>
    <r>
      <rPr>
        <sz val="12"/>
        <rFont val="Calibri"/>
        <family val="2"/>
      </rPr>
      <t>among all products.</t>
    </r>
  </si>
  <si>
    <r>
      <rPr>
        <b/>
        <sz val="12"/>
        <color rgb="FF424242"/>
        <rFont val="Calibri"/>
        <family val="2"/>
      </rPr>
      <t xml:space="preserve">3.   </t>
    </r>
    <r>
      <rPr>
        <b/>
        <sz val="12"/>
        <rFont val="Calibri"/>
        <family val="2"/>
      </rPr>
      <t xml:space="preserve">Logical Function – IF
</t>
    </r>
    <r>
      <rPr>
        <sz val="12"/>
        <rFont val="Calibri"/>
        <family val="2"/>
      </rPr>
      <t xml:space="preserve">●   Create a new column named </t>
    </r>
    <r>
      <rPr>
        <b/>
        <sz val="12"/>
        <rFont val="Calibri"/>
        <family val="2"/>
      </rPr>
      <t>Price Range</t>
    </r>
    <r>
      <rPr>
        <sz val="12"/>
        <rFont val="Calibri"/>
        <family val="2"/>
      </rPr>
      <t xml:space="preserve">.
●   Use the </t>
    </r>
    <r>
      <rPr>
        <b/>
        <sz val="12"/>
        <rFont val="Calibri"/>
        <family val="2"/>
      </rPr>
      <t xml:space="preserve">IF function </t>
    </r>
    <r>
      <rPr>
        <sz val="12"/>
        <rFont val="Calibri"/>
        <family val="2"/>
      </rPr>
      <t xml:space="preserve">to categorize products based on their price:
○   If </t>
    </r>
    <r>
      <rPr>
        <b/>
        <sz val="12"/>
        <rFont val="Calibri"/>
        <family val="2"/>
      </rPr>
      <t xml:space="preserve">Price ≥ $500 </t>
    </r>
    <r>
      <rPr>
        <sz val="12"/>
        <rFont val="Calibri"/>
        <family val="2"/>
      </rPr>
      <t xml:space="preserve">→ classify as </t>
    </r>
    <r>
      <rPr>
        <b/>
        <sz val="12"/>
        <rFont val="Calibri"/>
        <family val="2"/>
      </rPr>
      <t xml:space="preserve">High Price
</t>
    </r>
    <r>
      <rPr>
        <sz val="12"/>
        <rFont val="Calibri"/>
        <family val="2"/>
      </rPr>
      <t xml:space="preserve">○   If </t>
    </r>
    <r>
      <rPr>
        <b/>
        <sz val="12"/>
        <rFont val="Calibri"/>
        <family val="2"/>
      </rPr>
      <t xml:space="preserve">Price &lt; $500 </t>
    </r>
    <r>
      <rPr>
        <sz val="12"/>
        <rFont val="Calibri"/>
        <family val="2"/>
      </rPr>
      <t xml:space="preserve">→ classify as </t>
    </r>
    <r>
      <rPr>
        <b/>
        <sz val="12"/>
        <rFont val="Calibri"/>
        <family val="2"/>
      </rPr>
      <t>Standard Price</t>
    </r>
  </si>
  <si>
    <t>4.   Conditional Functions – SUMIF and COUNTIF</t>
  </si>
  <si>
    <t>5.   Text Formatting – LEFT, RIGHT, MID</t>
  </si>
  <si>
    <r>
      <rPr>
        <sz val="12"/>
        <rFont val="Calibri"/>
        <family val="2"/>
      </rPr>
      <t xml:space="preserve">●   Use text functions to extract information from the </t>
    </r>
    <r>
      <rPr>
        <b/>
        <sz val="12"/>
        <rFont val="Calibri"/>
        <family val="2"/>
      </rPr>
      <t xml:space="preserve">Product ID </t>
    </r>
    <r>
      <rPr>
        <sz val="12"/>
        <rFont val="Calibri"/>
        <family val="2"/>
      </rPr>
      <t>column.
●   Create the following new columns:</t>
    </r>
  </si>
  <si>
    <r>
      <rPr>
        <sz val="12"/>
        <rFont val="Calibri"/>
        <family val="2"/>
      </rPr>
      <t xml:space="preserve">○   Create a new column named </t>
    </r>
    <r>
      <rPr>
        <b/>
        <sz val="12"/>
        <rFont val="Calibri"/>
        <family val="2"/>
      </rPr>
      <t xml:space="preserve">Day </t>
    </r>
    <r>
      <rPr>
        <sz val="12"/>
        <rFont val="Calibri"/>
        <family val="2"/>
      </rPr>
      <t>with the first 2 characters of each</t>
    </r>
  </si>
  <si>
    <r>
      <rPr>
        <b/>
        <sz val="12"/>
        <rFont val="Calibri"/>
        <family val="2"/>
      </rPr>
      <t>'Product ID</t>
    </r>
    <r>
      <rPr>
        <sz val="12"/>
        <rFont val="Calibri"/>
        <family val="2"/>
      </rPr>
      <t xml:space="preserve">' using the </t>
    </r>
    <r>
      <rPr>
        <b/>
        <sz val="12"/>
        <rFont val="Calibri"/>
        <family val="2"/>
      </rPr>
      <t>LEFT function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</si>
  <si>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 xml:space="preserve">○   Create a new column named </t>
    </r>
    <r>
      <rPr>
        <b/>
        <sz val="12"/>
        <rFont val="Calibri"/>
        <family val="2"/>
      </rPr>
      <t xml:space="preserve">Country Code </t>
    </r>
    <r>
      <rPr>
        <sz val="12"/>
        <rFont val="Calibri"/>
        <family val="2"/>
      </rPr>
      <t>by extracting the last 2</t>
    </r>
  </si>
  <si>
    <r>
      <rPr>
        <sz val="12"/>
        <rFont val="Calibri"/>
        <family val="2"/>
      </rPr>
      <t xml:space="preserve">characters from the </t>
    </r>
    <r>
      <rPr>
        <b/>
        <sz val="12"/>
        <rFont val="Calibri"/>
        <family val="2"/>
      </rPr>
      <t xml:space="preserve">'Product ID' </t>
    </r>
    <r>
      <rPr>
        <sz val="12"/>
        <rFont val="Calibri"/>
        <family val="2"/>
      </rPr>
      <t xml:space="preserve">column using the </t>
    </r>
    <r>
      <rPr>
        <b/>
        <sz val="12"/>
        <rFont val="Calibri"/>
        <family val="2"/>
      </rPr>
      <t>RIGHT function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</si>
  <si>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 xml:space="preserve">○   Create a new column named </t>
    </r>
    <r>
      <rPr>
        <b/>
        <sz val="12"/>
        <rFont val="Calibri"/>
        <family val="2"/>
      </rPr>
      <t xml:space="preserve">Month </t>
    </r>
    <r>
      <rPr>
        <sz val="12"/>
        <rFont val="Calibri"/>
        <family val="2"/>
      </rPr>
      <t>by extracting the 4th to 6th</t>
    </r>
  </si>
  <si>
    <r>
      <rPr>
        <sz val="12"/>
        <rFont val="Calibri"/>
        <family val="2"/>
      </rPr>
      <t xml:space="preserve">characters from the </t>
    </r>
    <r>
      <rPr>
        <b/>
        <sz val="12"/>
        <rFont val="Calibri"/>
        <family val="2"/>
      </rPr>
      <t xml:space="preserve">'Product ID' </t>
    </r>
    <r>
      <rPr>
        <sz val="12"/>
        <rFont val="Calibri"/>
        <family val="2"/>
      </rPr>
      <t xml:space="preserve">column using the </t>
    </r>
    <r>
      <rPr>
        <b/>
        <sz val="12"/>
        <rFont val="Calibri"/>
        <family val="2"/>
      </rPr>
      <t>MID function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</si>
  <si>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 xml:space="preserve">Perform the following conditional calculations:
●   Use the </t>
    </r>
    <r>
      <rPr>
        <b/>
        <sz val="12"/>
        <rFont val="Calibri"/>
        <family val="2"/>
      </rPr>
      <t xml:space="preserve">SUMIF function </t>
    </r>
    <r>
      <rPr>
        <sz val="12"/>
        <rFont val="Calibri"/>
        <family val="2"/>
      </rPr>
      <t xml:space="preserve">to calculate the </t>
    </r>
    <r>
      <rPr>
        <b/>
        <sz val="12"/>
        <rFont val="Calibri"/>
        <family val="2"/>
      </rPr>
      <t>total price of products in the Electronics category</t>
    </r>
    <r>
      <rPr>
        <sz val="12"/>
        <rFont val="Calibri"/>
        <family val="2"/>
      </rPr>
      <t xml:space="preserve">.
●   Use the </t>
    </r>
    <r>
      <rPr>
        <b/>
        <sz val="12"/>
        <rFont val="Calibri"/>
        <family val="2"/>
      </rPr>
      <t xml:space="preserve">COUNTIF function </t>
    </r>
    <r>
      <rPr>
        <sz val="12"/>
        <rFont val="Calibri"/>
        <family val="2"/>
      </rPr>
      <t xml:space="preserve">to determine the </t>
    </r>
    <r>
      <rPr>
        <b/>
        <sz val="12"/>
        <rFont val="Calibri"/>
        <family val="2"/>
      </rPr>
      <t>number of products with a price</t>
    </r>
    <r>
      <rPr>
        <sz val="10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less than $100.</t>
    </r>
  </si>
  <si>
    <t>Functions</t>
  </si>
  <si>
    <t>Sum</t>
  </si>
  <si>
    <t>Average</t>
  </si>
  <si>
    <t>Questions</t>
  </si>
  <si>
    <t>Answer</t>
  </si>
  <si>
    <t>Min</t>
  </si>
  <si>
    <t>Max</t>
  </si>
  <si>
    <t>SUMIF</t>
  </si>
  <si>
    <t>COUNTIF</t>
  </si>
  <si>
    <t xml:space="preserve"> Total price of products in the Electronics category</t>
  </si>
  <si>
    <t xml:space="preserve"> Number of products with a price less than $100.</t>
  </si>
  <si>
    <t>Day</t>
  </si>
  <si>
    <t>Country Code</t>
  </si>
  <si>
    <t>Month</t>
  </si>
  <si>
    <t>EXCEL ASSIGNMENT - DATA EXPLORATION</t>
  </si>
  <si>
    <t xml:space="preserve">Number of Products </t>
  </si>
  <si>
    <t>CountA</t>
  </si>
  <si>
    <t xml:space="preserve"> Sum, Count, and Average</t>
  </si>
  <si>
    <t xml:space="preserve"> Minimum and Maximum Values</t>
  </si>
  <si>
    <t xml:space="preserve"> Conditional Functions – SUMIF and COUNTIF</t>
  </si>
  <si>
    <t>Data Set</t>
  </si>
  <si>
    <t>IF Function</t>
  </si>
  <si>
    <t>Left</t>
  </si>
  <si>
    <t>Right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</si>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</sst>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Arial"/>
      <family val="2"/>
      <scheme val="minor"/>
    </font>
    <font>
      <b/>
      <sz val="17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u/>
      <sz val="14"/>
      <color rgb="FF1154CC"/>
      <name val="Calibri"/>
      <family val="2"/>
    </font>
    <font>
      <i/>
      <sz val="12"/>
      <name val="Calibri"/>
      <family val="2"/>
    </font>
    <font>
      <b/>
      <i/>
      <sz val="13"/>
      <name val="Calibri"/>
      <family val="2"/>
    </font>
    <font>
      <b/>
      <sz val="12"/>
      <color rgb="FF424242"/>
      <name val="Calibri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0" borderId="0" xfId="1" applyFont="1" applyAlignment="1">
      <alignment horizontal="left" vertical="top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1" applyFont="1" applyAlignment="1">
      <alignment horizontal="left" vertical="top" wrapText="1" indent="20"/>
    </xf>
    <xf numFmtId="0" fontId="9" fillId="0" borderId="0" xfId="1" applyFont="1" applyAlignment="1">
      <alignment horizontal="left" vertical="top" wrapText="1" indent="17"/>
    </xf>
    <xf numFmtId="0" fontId="5" fillId="0" borderId="0" xfId="1" applyFont="1" applyAlignment="1">
      <alignment horizontal="left" vertical="top" wrapText="1" indent="17"/>
    </xf>
    <xf numFmtId="0" fontId="5" fillId="0" borderId="0" xfId="1" applyFont="1" applyAlignment="1">
      <alignment horizontal="left" vertical="top" wrapText="1" indent="12"/>
    </xf>
    <xf numFmtId="0" fontId="14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 indent="8"/>
    </xf>
    <xf numFmtId="0" fontId="9" fillId="0" borderId="0" xfId="1" applyFont="1" applyAlignment="1">
      <alignment horizontal="left" vertical="top" wrapText="1" indent="10"/>
    </xf>
    <xf numFmtId="0" fontId="9" fillId="0" borderId="0" xfId="1" applyFont="1" applyAlignment="1">
      <alignment horizontal="left" vertical="top" wrapText="1" indent="12"/>
    </xf>
    <xf numFmtId="0" fontId="5" fillId="0" borderId="0" xfId="1" applyFont="1" applyAlignment="1">
      <alignment horizontal="left" vertical="top" wrapText="1" indent="10"/>
    </xf>
    <xf numFmtId="0" fontId="6" fillId="0" borderId="0" xfId="1" applyFont="1" applyAlignment="1">
      <alignment horizontal="left" vertical="top" wrapText="1" indent="8"/>
    </xf>
    <xf numFmtId="0" fontId="5" fillId="0" borderId="0" xfId="1" applyFont="1" applyAlignment="1">
      <alignment horizontal="left" vertical="top" wrapText="1" indent="8"/>
    </xf>
    <xf numFmtId="0" fontId="5" fillId="0" borderId="0" xfId="1" applyFont="1" applyAlignment="1">
      <alignment horizontal="left" vertical="top" wrapText="1" indent="15"/>
    </xf>
    <xf numFmtId="0" fontId="8" fillId="0" borderId="0" xfId="1" applyFont="1" applyAlignment="1">
      <alignment horizontal="left" vertical="top" wrapText="1"/>
    </xf>
    <xf numFmtId="0" fontId="8" fillId="0" borderId="0" xfId="1" applyFont="1" applyAlignment="1">
      <alignment horizontal="center" vertical="top" wrapText="1"/>
    </xf>
    <xf numFmtId="0" fontId="11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2D8F1DF7-1479-4666-BB52-13FBED0A5890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DB65BB-C4F7-466D-9BEB-523993D38078}" name="PRODUCT_DB" displayName="PRODUCT_DB" ref="A4:J38" totalsRowShown="0" headerRowDxfId="11" dataDxfId="10">
  <tableColumns count="10">
    <tableColumn id="1" xr3:uid="{CBA5529A-CE17-44FD-9687-01A8093B765F}" name="Product ID" dataDxfId="9"/>
    <tableColumn id="2" xr3:uid="{38A927FC-942B-43C1-A673-7A2E7849872F}" name="Product Name" dataDxfId="8"/>
    <tableColumn id="3" xr3:uid="{DF827145-FAFE-4FAF-9781-766A5142117E}" name="Brand Name" dataDxfId="7"/>
    <tableColumn id="4" xr3:uid="{E6146C70-AB86-4D04-BF86-9E4E4AD8C873}" name="Price ($)" dataDxfId="6"/>
    <tableColumn id="5" xr3:uid="{80E4CDCD-5D8F-4493-84E1-9771BB711ECC}" name="Quantity" dataDxfId="5"/>
    <tableColumn id="6" xr3:uid="{F3C462F8-71B3-4DC4-AA43-CF711F732B7D}" name="Category" dataDxfId="4"/>
    <tableColumn id="10" xr3:uid="{35810FC6-6187-4821-BBC7-5EF0D681BFA2}" name="Price Range" dataDxfId="3">
      <calculatedColumnFormula>IF(PRODUCT_DB[[#This Row],[Price ($)]]&gt;=500,"High price","Standard Price")</calculatedColumnFormula>
    </tableColumn>
    <tableColumn id="11" xr3:uid="{24BD1E68-F773-4794-9DB9-2FFF6638EA90}" name="Day" dataDxfId="2">
      <calculatedColumnFormula>LEFT(PRODUCT_DB[Product ID],2)</calculatedColumnFormula>
    </tableColumn>
    <tableColumn id="12" xr3:uid="{2B083F20-3933-4BEF-8D75-6A3B369F38FB}" name="Country Code" dataDxfId="1">
      <calculatedColumnFormula>RIGHT(PRODUCT_DB[Product ID],2)</calculatedColumnFormula>
    </tableColumn>
    <tableColumn id="14" xr3:uid="{26A2081D-54A1-4AAC-B11E-93BB3F9F2308}" name="Month" dataDxfId="0">
      <calculatedColumnFormula>MID(PRODUCT_DB[Product ID],4,3)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dPmNZ2exa4y_QqWhh_AuKdDvoUqm3A3L/export?format=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0C73-D95B-4C00-9469-46C41C611ED9}">
  <dimension ref="A1:E25"/>
  <sheetViews>
    <sheetView workbookViewId="0">
      <selection activeCell="A10" sqref="A10:E10"/>
    </sheetView>
  </sheetViews>
  <sheetFormatPr defaultRowHeight="13.8" x14ac:dyDescent="0.25"/>
  <cols>
    <col min="1" max="1" width="30.21875" style="7" customWidth="1"/>
    <col min="2" max="2" width="25.77734375" style="7" customWidth="1"/>
    <col min="3" max="3" width="33.77734375" style="7" customWidth="1"/>
    <col min="4" max="4" width="16" style="7" customWidth="1"/>
    <col min="5" max="5" width="10.88671875" style="7" customWidth="1"/>
    <col min="6" max="16384" width="8.88671875" style="7"/>
  </cols>
  <sheetData>
    <row r="1" spans="1:5" ht="25.5" customHeight="1" x14ac:dyDescent="0.25">
      <c r="A1" s="29" t="s">
        <v>100</v>
      </c>
      <c r="B1" s="29"/>
      <c r="C1" s="29"/>
      <c r="D1" s="29"/>
      <c r="E1" s="29"/>
    </row>
    <row r="2" spans="1:5" ht="25.5" customHeight="1" x14ac:dyDescent="0.25">
      <c r="A2" s="29" t="s">
        <v>101</v>
      </c>
      <c r="B2" s="29"/>
      <c r="C2" s="29"/>
      <c r="D2" s="29"/>
      <c r="E2" s="29"/>
    </row>
    <row r="3" spans="1:5" ht="25.5" customHeight="1" x14ac:dyDescent="0.25">
      <c r="A3" s="29" t="s">
        <v>102</v>
      </c>
      <c r="B3" s="29"/>
      <c r="C3" s="29"/>
      <c r="D3" s="29"/>
      <c r="E3" s="29"/>
    </row>
    <row r="4" spans="1:5" ht="25.5" customHeight="1" x14ac:dyDescent="0.25">
      <c r="A4" s="28" t="s">
        <v>103</v>
      </c>
      <c r="B4" s="28"/>
      <c r="C4" s="28"/>
      <c r="D4" s="28"/>
      <c r="E4" s="28"/>
    </row>
    <row r="5" spans="1:5" ht="21" customHeight="1" x14ac:dyDescent="0.25">
      <c r="A5" s="30" t="s">
        <v>104</v>
      </c>
      <c r="B5" s="30"/>
      <c r="C5" s="30"/>
      <c r="D5" s="30"/>
      <c r="E5" s="30"/>
    </row>
    <row r="6" spans="1:5" ht="18" customHeight="1" x14ac:dyDescent="0.25">
      <c r="A6" s="31" t="s">
        <v>105</v>
      </c>
      <c r="B6" s="31"/>
      <c r="C6" s="31"/>
      <c r="D6" s="31"/>
      <c r="E6" s="31"/>
    </row>
    <row r="7" spans="1:5" ht="25.5" customHeight="1" x14ac:dyDescent="0.25">
      <c r="A7" s="28" t="s">
        <v>98</v>
      </c>
      <c r="B7" s="28"/>
      <c r="C7" s="28"/>
      <c r="D7" s="28"/>
      <c r="E7" s="28"/>
    </row>
    <row r="8" spans="1:5" ht="19.5" customHeight="1" x14ac:dyDescent="0.25">
      <c r="A8" s="20" t="s">
        <v>95</v>
      </c>
      <c r="B8" s="20"/>
      <c r="C8" s="20"/>
      <c r="D8" s="20"/>
      <c r="E8" s="20"/>
    </row>
    <row r="9" spans="1:5" ht="18" customHeight="1" x14ac:dyDescent="0.25">
      <c r="A9" s="21" t="s">
        <v>106</v>
      </c>
      <c r="B9" s="21"/>
      <c r="C9" s="21"/>
      <c r="D9" s="21"/>
      <c r="E9" s="21"/>
    </row>
    <row r="10" spans="1:5" ht="18" customHeight="1" x14ac:dyDescent="0.25">
      <c r="A10" s="22" t="s">
        <v>107</v>
      </c>
      <c r="B10" s="22"/>
      <c r="C10" s="22"/>
      <c r="D10" s="22"/>
      <c r="E10" s="22"/>
    </row>
    <row r="11" spans="1:5" ht="54" customHeight="1" x14ac:dyDescent="0.25">
      <c r="A11" s="23" t="s">
        <v>108</v>
      </c>
      <c r="B11" s="19"/>
      <c r="C11" s="19"/>
      <c r="D11" s="19"/>
      <c r="E11" s="19"/>
    </row>
    <row r="12" spans="1:5" ht="18" customHeight="1" x14ac:dyDescent="0.25">
      <c r="A12" s="21" t="s">
        <v>109</v>
      </c>
      <c r="B12" s="21"/>
      <c r="C12" s="21"/>
      <c r="D12" s="21"/>
      <c r="E12" s="21"/>
    </row>
    <row r="13" spans="1:5" ht="66.75" customHeight="1" x14ac:dyDescent="0.25">
      <c r="A13" s="22" t="s">
        <v>110</v>
      </c>
      <c r="B13" s="24"/>
      <c r="C13" s="24"/>
      <c r="D13" s="24"/>
      <c r="E13" s="24"/>
    </row>
    <row r="14" spans="1:5" ht="101.7" customHeight="1" x14ac:dyDescent="0.25">
      <c r="A14" s="25" t="s">
        <v>111</v>
      </c>
      <c r="B14" s="26"/>
      <c r="C14" s="26"/>
      <c r="D14" s="26"/>
      <c r="E14" s="26"/>
    </row>
    <row r="15" spans="1:5" ht="18" customHeight="1" x14ac:dyDescent="0.25">
      <c r="A15" s="21" t="s">
        <v>112</v>
      </c>
      <c r="B15" s="21"/>
      <c r="C15" s="21"/>
      <c r="D15" s="21"/>
      <c r="E15" s="21"/>
    </row>
    <row r="16" spans="1:5" ht="60.6" customHeight="1" x14ac:dyDescent="0.25">
      <c r="A16" s="24" t="s">
        <v>121</v>
      </c>
      <c r="B16" s="24"/>
      <c r="C16" s="24"/>
      <c r="D16" s="24"/>
      <c r="E16" s="24"/>
    </row>
    <row r="17" spans="1:5" ht="18" customHeight="1" x14ac:dyDescent="0.25">
      <c r="A17" s="27"/>
      <c r="B17" s="27"/>
      <c r="C17" s="27"/>
      <c r="D17" s="27"/>
      <c r="E17" s="27"/>
    </row>
    <row r="18" spans="1:5" ht="18" customHeight="1" x14ac:dyDescent="0.25">
      <c r="A18" s="21" t="s">
        <v>113</v>
      </c>
      <c r="B18" s="21"/>
      <c r="C18" s="21"/>
      <c r="D18" s="21"/>
      <c r="E18" s="21"/>
    </row>
    <row r="19" spans="1:5" ht="39.450000000000003" customHeight="1" x14ac:dyDescent="0.25">
      <c r="A19" s="19" t="s">
        <v>114</v>
      </c>
      <c r="B19" s="19"/>
      <c r="C19" s="19"/>
      <c r="D19" s="19"/>
      <c r="E19" s="19"/>
    </row>
    <row r="20" spans="1:5" ht="18" customHeight="1" x14ac:dyDescent="0.25">
      <c r="A20" s="17" t="s">
        <v>115</v>
      </c>
      <c r="B20" s="18"/>
      <c r="C20" s="18"/>
      <c r="D20" s="18"/>
      <c r="E20" s="18"/>
    </row>
    <row r="21" spans="1:5" ht="18" customHeight="1" x14ac:dyDescent="0.25">
      <c r="A21" s="16" t="s">
        <v>116</v>
      </c>
      <c r="B21" s="16"/>
      <c r="C21" s="16"/>
      <c r="D21" s="16"/>
      <c r="E21" s="16"/>
    </row>
    <row r="22" spans="1:5" ht="18" customHeight="1" x14ac:dyDescent="0.25">
      <c r="A22" s="17" t="s">
        <v>117</v>
      </c>
      <c r="B22" s="18"/>
      <c r="C22" s="18"/>
      <c r="D22" s="18"/>
      <c r="E22" s="18"/>
    </row>
    <row r="23" spans="1:5" ht="18" customHeight="1" x14ac:dyDescent="0.25">
      <c r="A23" s="16" t="s">
        <v>118</v>
      </c>
      <c r="B23" s="16"/>
      <c r="C23" s="16"/>
      <c r="D23" s="16"/>
      <c r="E23" s="16"/>
    </row>
    <row r="24" spans="1:5" ht="18" customHeight="1" x14ac:dyDescent="0.25">
      <c r="A24" s="18" t="s">
        <v>119</v>
      </c>
      <c r="B24" s="18"/>
      <c r="C24" s="18"/>
      <c r="D24" s="18"/>
      <c r="E24" s="18"/>
    </row>
    <row r="25" spans="1:5" ht="18" customHeight="1" x14ac:dyDescent="0.25">
      <c r="A25" s="16" t="s">
        <v>120</v>
      </c>
      <c r="B25" s="16"/>
      <c r="C25" s="16"/>
      <c r="D25" s="16"/>
      <c r="E25" s="16"/>
    </row>
  </sheetData>
  <mergeCells count="25">
    <mergeCell ref="A7:E7"/>
    <mergeCell ref="A1:E1"/>
    <mergeCell ref="A2:E2"/>
    <mergeCell ref="A3:E3"/>
    <mergeCell ref="A4:E4"/>
    <mergeCell ref="A5:E5"/>
    <mergeCell ref="A6:E6"/>
    <mergeCell ref="A19:E19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25:E25"/>
    <mergeCell ref="A20:E20"/>
    <mergeCell ref="A21:E21"/>
    <mergeCell ref="A22:E22"/>
    <mergeCell ref="A23:E23"/>
    <mergeCell ref="A24:E24"/>
  </mergeCells>
  <hyperlinks>
    <hyperlink ref="A5" r:id="rId1" display="https://docs.google.com/spreadsheets/d/1dPmNZ2exa4y_QqWhh_AuKdDvoUqm3A3L/export?format=xlsx" xr:uid="{851C9AA6-8A22-43BA-8F1B-B79D15FE2B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8"/>
  <sheetViews>
    <sheetView tabSelected="1" workbookViewId="0">
      <selection sqref="A1:O1"/>
    </sheetView>
  </sheetViews>
  <sheetFormatPr defaultColWidth="15.6640625" defaultRowHeight="18" customHeight="1" x14ac:dyDescent="0.25"/>
  <cols>
    <col min="1" max="1" width="14.5546875" style="4" customWidth="1"/>
    <col min="2" max="2" width="14.33203125" style="4" customWidth="1"/>
    <col min="3" max="3" width="13.5546875" style="4" customWidth="1"/>
    <col min="4" max="4" width="11.33203125" style="4" customWidth="1"/>
    <col min="5" max="5" width="11.109375" style="4" customWidth="1"/>
    <col min="6" max="6" width="13.77734375" style="4" customWidth="1"/>
    <col min="7" max="7" width="17.88671875" style="4" customWidth="1"/>
    <col min="8" max="8" width="10.77734375" style="4" customWidth="1"/>
    <col min="9" max="9" width="14.77734375" style="4" customWidth="1"/>
    <col min="10" max="10" width="12.44140625" style="4" customWidth="1"/>
    <col min="11" max="11" width="7.109375" style="4" customWidth="1"/>
    <col min="12" max="12" width="11.44140625" style="4" bestFit="1" customWidth="1"/>
    <col min="13" max="13" width="51.21875" style="4" bestFit="1" customWidth="1"/>
    <col min="14" max="14" width="14.5546875" style="4" bestFit="1" customWidth="1"/>
    <col min="15" max="16384" width="15.6640625" style="4"/>
  </cols>
  <sheetData>
    <row r="1" spans="1:15" ht="18" customHeight="1" x14ac:dyDescent="0.25">
      <c r="A1" s="32" t="s">
        <v>136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18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18" customHeight="1" x14ac:dyDescent="0.25">
      <c r="A3" s="33" t="s">
        <v>142</v>
      </c>
      <c r="B3" s="34"/>
      <c r="C3" s="34"/>
      <c r="D3" s="34"/>
      <c r="E3" s="34"/>
      <c r="F3" s="35"/>
      <c r="G3" s="11" t="s">
        <v>143</v>
      </c>
      <c r="H3" s="11" t="s">
        <v>144</v>
      </c>
      <c r="I3" s="11" t="s">
        <v>145</v>
      </c>
      <c r="J3" s="11" t="s">
        <v>146</v>
      </c>
    </row>
    <row r="4" spans="1:15" ht="18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99</v>
      </c>
      <c r="H4" s="1" t="s">
        <v>133</v>
      </c>
      <c r="I4" s="1" t="s">
        <v>134</v>
      </c>
      <c r="J4" s="1" t="s">
        <v>135</v>
      </c>
      <c r="K4" s="2"/>
      <c r="L4" s="33" t="s">
        <v>139</v>
      </c>
      <c r="M4" s="34"/>
      <c r="N4" s="35"/>
    </row>
    <row r="5" spans="1:15" ht="18" customHeight="1" x14ac:dyDescent="0.25">
      <c r="A5" s="3" t="s">
        <v>6</v>
      </c>
      <c r="B5" s="3" t="s">
        <v>7</v>
      </c>
      <c r="C5" s="3" t="s">
        <v>8</v>
      </c>
      <c r="D5" s="3">
        <v>1000</v>
      </c>
      <c r="E5" s="3">
        <v>30</v>
      </c>
      <c r="F5" s="3" t="s">
        <v>9</v>
      </c>
      <c r="G5" s="3" t="str">
        <f>IF(PRODUCT_DB[[#This Row],[Price ($)]]&gt;=500,"High price","Standard Price")</f>
        <v>High price</v>
      </c>
      <c r="H5" s="3" t="str">
        <f>LEFT(PRODUCT_DB[Product ID],2)</f>
        <v>28</v>
      </c>
      <c r="I5" s="3" t="str">
        <f>RIGHT(PRODUCT_DB[Product ID],2)</f>
        <v>US</v>
      </c>
      <c r="J5" s="3" t="str">
        <f>MID(PRODUCT_DB[Product ID],4,3)</f>
        <v>JAN</v>
      </c>
      <c r="K5" s="3"/>
      <c r="L5" s="11" t="s">
        <v>122</v>
      </c>
      <c r="M5" s="11" t="s">
        <v>125</v>
      </c>
      <c r="N5" s="11" t="s">
        <v>126</v>
      </c>
    </row>
    <row r="6" spans="1:15" ht="18" customHeight="1" x14ac:dyDescent="0.25">
      <c r="A6" s="5" t="s">
        <v>10</v>
      </c>
      <c r="B6" s="5" t="s">
        <v>11</v>
      </c>
      <c r="C6" s="5" t="s">
        <v>12</v>
      </c>
      <c r="D6" s="5">
        <v>80</v>
      </c>
      <c r="E6" s="5">
        <v>15</v>
      </c>
      <c r="F6" s="5" t="s">
        <v>13</v>
      </c>
      <c r="G6" s="5" t="str">
        <f>IF(PRODUCT_DB[[#This Row],[Price ($)]]&gt;=500,"High price","Standard Price")</f>
        <v>Standard Price</v>
      </c>
      <c r="H6" s="5" t="str">
        <f>LEFT(PRODUCT_DB[Product ID],2)</f>
        <v>15</v>
      </c>
      <c r="I6" s="5" t="str">
        <f>RIGHT(PRODUCT_DB[Product ID],2)</f>
        <v>US</v>
      </c>
      <c r="J6" s="5" t="str">
        <f>MID(PRODUCT_DB[Product ID],4,3)</f>
        <v>FEB</v>
      </c>
      <c r="K6" s="3"/>
      <c r="L6" s="12" t="s">
        <v>123</v>
      </c>
      <c r="M6" s="13" t="s">
        <v>93</v>
      </c>
      <c r="N6" s="13">
        <f>SUM(PRODUCT_DB[Price ($)])</f>
        <v>10100</v>
      </c>
    </row>
    <row r="7" spans="1:15" ht="18" customHeight="1" x14ac:dyDescent="0.25">
      <c r="A7" s="3" t="s">
        <v>14</v>
      </c>
      <c r="B7" s="3" t="s">
        <v>15</v>
      </c>
      <c r="C7" s="3" t="s">
        <v>16</v>
      </c>
      <c r="D7" s="3">
        <v>130</v>
      </c>
      <c r="E7" s="3">
        <v>40</v>
      </c>
      <c r="F7" s="3" t="s">
        <v>17</v>
      </c>
      <c r="G7" s="3" t="str">
        <f>IF(PRODUCT_DB[[#This Row],[Price ($)]]&gt;=500,"High price","Standard Price")</f>
        <v>Standard Price</v>
      </c>
      <c r="H7" s="3" t="str">
        <f>LEFT(PRODUCT_DB[Product ID],2)</f>
        <v>03</v>
      </c>
      <c r="I7" s="3" t="str">
        <f>RIGHT(PRODUCT_DB[Product ID],2)</f>
        <v>US</v>
      </c>
      <c r="J7" s="3" t="str">
        <f>MID(PRODUCT_DB[Product ID],4,3)</f>
        <v>MAR</v>
      </c>
      <c r="K7" s="3"/>
      <c r="L7" s="13" t="s">
        <v>138</v>
      </c>
      <c r="M7" s="12" t="s">
        <v>137</v>
      </c>
      <c r="N7" s="12">
        <f>COUNTA(PRODUCT_DB[Product Name])</f>
        <v>34</v>
      </c>
    </row>
    <row r="8" spans="1:15" ht="18" customHeight="1" x14ac:dyDescent="0.25">
      <c r="A8" s="5" t="s">
        <v>18</v>
      </c>
      <c r="B8" s="5" t="s">
        <v>19</v>
      </c>
      <c r="C8" s="5" t="s">
        <v>20</v>
      </c>
      <c r="D8" s="5">
        <v>900</v>
      </c>
      <c r="E8" s="5">
        <v>25</v>
      </c>
      <c r="F8" s="5" t="s">
        <v>9</v>
      </c>
      <c r="G8" s="5" t="str">
        <f>IF(PRODUCT_DB[[#This Row],[Price ($)]]&gt;=500,"High price","Standard Price")</f>
        <v>High price</v>
      </c>
      <c r="H8" s="5" t="str">
        <f>LEFT(PRODUCT_DB[Product ID],2)</f>
        <v>11</v>
      </c>
      <c r="I8" s="5" t="str">
        <f>RIGHT(PRODUCT_DB[Product ID],2)</f>
        <v>US</v>
      </c>
      <c r="J8" s="5" t="str">
        <f>MID(PRODUCT_DB[Product ID],4,3)</f>
        <v>APR</v>
      </c>
      <c r="K8" s="3"/>
      <c r="L8" s="13" t="s">
        <v>124</v>
      </c>
      <c r="M8" s="13" t="s">
        <v>94</v>
      </c>
      <c r="N8" s="14">
        <f>AVERAGE(PRODUCT_DB[Price ($)])</f>
        <v>297.05882352941177</v>
      </c>
    </row>
    <row r="9" spans="1:15" ht="18" customHeight="1" x14ac:dyDescent="0.25">
      <c r="A9" s="3" t="s">
        <v>21</v>
      </c>
      <c r="B9" s="3" t="s">
        <v>22</v>
      </c>
      <c r="C9" s="3" t="s">
        <v>23</v>
      </c>
      <c r="D9" s="3">
        <v>70</v>
      </c>
      <c r="E9" s="3">
        <v>20</v>
      </c>
      <c r="F9" s="3" t="s">
        <v>24</v>
      </c>
      <c r="G9" s="3" t="str">
        <f>IF(PRODUCT_DB[[#This Row],[Price ($)]]&gt;=500,"High price","Standard Price")</f>
        <v>Standard Price</v>
      </c>
      <c r="H9" s="3" t="str">
        <f>LEFT(PRODUCT_DB[Product ID],2)</f>
        <v>22</v>
      </c>
      <c r="I9" s="3" t="str">
        <f>RIGHT(PRODUCT_DB[Product ID],2)</f>
        <v>US</v>
      </c>
      <c r="J9" s="3" t="str">
        <f>MID(PRODUCT_DB[Product ID],4,3)</f>
        <v>MAY</v>
      </c>
      <c r="K9" s="3"/>
      <c r="L9" s="8"/>
      <c r="M9" s="8"/>
      <c r="N9" s="8"/>
    </row>
    <row r="10" spans="1:15" ht="18" customHeight="1" x14ac:dyDescent="0.25">
      <c r="A10" s="5" t="s">
        <v>25</v>
      </c>
      <c r="B10" s="5" t="s">
        <v>26</v>
      </c>
      <c r="C10" s="5" t="s">
        <v>27</v>
      </c>
      <c r="D10" s="5">
        <v>200</v>
      </c>
      <c r="E10" s="5">
        <v>45</v>
      </c>
      <c r="F10" s="5" t="s">
        <v>9</v>
      </c>
      <c r="G10" s="5" t="str">
        <f>IF(PRODUCT_DB[[#This Row],[Price ($)]]&gt;=500,"High price","Standard Price")</f>
        <v>Standard Price</v>
      </c>
      <c r="H10" s="5" t="str">
        <f>LEFT(PRODUCT_DB[Product ID],2)</f>
        <v>07</v>
      </c>
      <c r="I10" s="5" t="str">
        <f>RIGHT(PRODUCT_DB[Product ID],2)</f>
        <v>UK</v>
      </c>
      <c r="J10" s="5" t="str">
        <f>MID(PRODUCT_DB[Product ID],4,3)</f>
        <v>JUN</v>
      </c>
      <c r="K10" s="3"/>
      <c r="L10" s="33" t="s">
        <v>140</v>
      </c>
      <c r="M10" s="34"/>
      <c r="N10" s="35"/>
    </row>
    <row r="11" spans="1:15" ht="18" customHeight="1" x14ac:dyDescent="0.25">
      <c r="A11" s="3" t="s">
        <v>28</v>
      </c>
      <c r="B11" s="3" t="s">
        <v>29</v>
      </c>
      <c r="C11" s="3" t="s">
        <v>30</v>
      </c>
      <c r="D11" s="3">
        <v>30</v>
      </c>
      <c r="E11" s="3">
        <v>5</v>
      </c>
      <c r="F11" s="3" t="s">
        <v>13</v>
      </c>
      <c r="G11" s="3" t="str">
        <f>IF(PRODUCT_DB[[#This Row],[Price ($)]]&gt;=500,"High price","Standard Price")</f>
        <v>Standard Price</v>
      </c>
      <c r="H11" s="3" t="str">
        <f>LEFT(PRODUCT_DB[Product ID],2)</f>
        <v>19</v>
      </c>
      <c r="I11" s="3" t="str">
        <f>RIGHT(PRODUCT_DB[Product ID],2)</f>
        <v>UK</v>
      </c>
      <c r="J11" s="3" t="str">
        <f>MID(PRODUCT_DB[Product ID],4,3)</f>
        <v>JUL</v>
      </c>
      <c r="K11" s="3"/>
      <c r="L11" s="11" t="s">
        <v>122</v>
      </c>
      <c r="M11" s="11" t="s">
        <v>125</v>
      </c>
      <c r="N11" s="11" t="s">
        <v>126</v>
      </c>
    </row>
    <row r="12" spans="1:15" ht="18" customHeight="1" x14ac:dyDescent="0.25">
      <c r="A12" s="5" t="s">
        <v>31</v>
      </c>
      <c r="B12" s="5" t="s">
        <v>32</v>
      </c>
      <c r="C12" s="5" t="s">
        <v>33</v>
      </c>
      <c r="D12" s="5">
        <v>90</v>
      </c>
      <c r="E12" s="5">
        <v>35</v>
      </c>
      <c r="F12" s="5" t="s">
        <v>17</v>
      </c>
      <c r="G12" s="5" t="str">
        <f>IF(PRODUCT_DB[[#This Row],[Price ($)]]&gt;=500,"High price","Standard Price")</f>
        <v>Standard Price</v>
      </c>
      <c r="H12" s="5" t="str">
        <f>LEFT(PRODUCT_DB[Product ID],2)</f>
        <v>23</v>
      </c>
      <c r="I12" s="5" t="str">
        <f>RIGHT(PRODUCT_DB[Product ID],2)</f>
        <v>UK</v>
      </c>
      <c r="J12" s="5" t="str">
        <f>MID(PRODUCT_DB[Product ID],4,3)</f>
        <v>AUG</v>
      </c>
      <c r="K12" s="3"/>
      <c r="L12" s="13" t="s">
        <v>127</v>
      </c>
      <c r="M12" s="13" t="s">
        <v>97</v>
      </c>
      <c r="N12" s="13">
        <f>MIN(PRODUCT_DB[Price ($)])</f>
        <v>30</v>
      </c>
    </row>
    <row r="13" spans="1:15" ht="18" customHeight="1" x14ac:dyDescent="0.25">
      <c r="A13" s="3" t="s">
        <v>34</v>
      </c>
      <c r="B13" s="3" t="s">
        <v>35</v>
      </c>
      <c r="C13" s="3" t="s">
        <v>36</v>
      </c>
      <c r="D13" s="3">
        <v>500</v>
      </c>
      <c r="E13" s="3">
        <v>50</v>
      </c>
      <c r="F13" s="3" t="s">
        <v>9</v>
      </c>
      <c r="G13" s="3" t="str">
        <f>IF(PRODUCT_DB[[#This Row],[Price ($)]]&gt;=500,"High price","Standard Price")</f>
        <v>High price</v>
      </c>
      <c r="H13" s="3" t="str">
        <f>LEFT(PRODUCT_DB[Product ID],2)</f>
        <v>05</v>
      </c>
      <c r="I13" s="3" t="str">
        <f>RIGHT(PRODUCT_DB[Product ID],2)</f>
        <v>UK</v>
      </c>
      <c r="J13" s="3" t="str">
        <f>MID(PRODUCT_DB[Product ID],4,3)</f>
        <v>SEP</v>
      </c>
      <c r="K13" s="3"/>
      <c r="L13" s="13" t="s">
        <v>128</v>
      </c>
      <c r="M13" s="13" t="s">
        <v>96</v>
      </c>
      <c r="N13" s="13">
        <f>MAX(PRODUCT_DB[Price ($)])</f>
        <v>1000</v>
      </c>
    </row>
    <row r="14" spans="1:15" ht="18" customHeight="1" x14ac:dyDescent="0.25">
      <c r="A14" s="5" t="s">
        <v>37</v>
      </c>
      <c r="B14" s="5" t="s">
        <v>38</v>
      </c>
      <c r="C14" s="5" t="s">
        <v>39</v>
      </c>
      <c r="D14" s="5">
        <v>130</v>
      </c>
      <c r="E14" s="5">
        <v>10</v>
      </c>
      <c r="F14" s="5" t="s">
        <v>24</v>
      </c>
      <c r="G14" s="5" t="str">
        <f>IF(PRODUCT_DB[[#This Row],[Price ($)]]&gt;=500,"High price","Standard Price")</f>
        <v>Standard Price</v>
      </c>
      <c r="H14" s="5" t="str">
        <f>LEFT(PRODUCT_DB[Product ID],2)</f>
        <v>14</v>
      </c>
      <c r="I14" s="5" t="str">
        <f>RIGHT(PRODUCT_DB[Product ID],2)</f>
        <v>UK</v>
      </c>
      <c r="J14" s="5" t="str">
        <f>MID(PRODUCT_DB[Product ID],4,3)</f>
        <v>OCT</v>
      </c>
      <c r="K14" s="3"/>
      <c r="L14" s="8"/>
      <c r="M14" s="8"/>
      <c r="N14" s="8"/>
    </row>
    <row r="15" spans="1:15" ht="18" customHeight="1" x14ac:dyDescent="0.25">
      <c r="A15" s="3" t="s">
        <v>40</v>
      </c>
      <c r="B15" s="3" t="s">
        <v>7</v>
      </c>
      <c r="C15" s="3" t="s">
        <v>41</v>
      </c>
      <c r="D15" s="3">
        <v>950</v>
      </c>
      <c r="E15" s="3">
        <v>25</v>
      </c>
      <c r="F15" s="3" t="s">
        <v>9</v>
      </c>
      <c r="G15" s="3" t="str">
        <f>IF(PRODUCT_DB[[#This Row],[Price ($)]]&gt;=500,"High price","Standard Price")</f>
        <v>High price</v>
      </c>
      <c r="H15" s="3" t="str">
        <f>LEFT(PRODUCT_DB[Product ID],2)</f>
        <v>17</v>
      </c>
      <c r="I15" s="3" t="str">
        <f>RIGHT(PRODUCT_DB[Product ID],2)</f>
        <v>IN</v>
      </c>
      <c r="J15" s="3" t="str">
        <f>MID(PRODUCT_DB[Product ID],4,3)</f>
        <v>JUN</v>
      </c>
      <c r="K15" s="3"/>
      <c r="L15" s="33" t="s">
        <v>141</v>
      </c>
      <c r="M15" s="34"/>
      <c r="N15" s="35"/>
    </row>
    <row r="16" spans="1:15" ht="18" customHeight="1" x14ac:dyDescent="0.25">
      <c r="A16" s="5" t="s">
        <v>42</v>
      </c>
      <c r="B16" s="5" t="s">
        <v>11</v>
      </c>
      <c r="C16" s="5" t="s">
        <v>30</v>
      </c>
      <c r="D16" s="5">
        <v>90</v>
      </c>
      <c r="E16" s="5">
        <v>40</v>
      </c>
      <c r="F16" s="5" t="s">
        <v>13</v>
      </c>
      <c r="G16" s="5" t="str">
        <f>IF(PRODUCT_DB[[#This Row],[Price ($)]]&gt;=500,"High price","Standard Price")</f>
        <v>Standard Price</v>
      </c>
      <c r="H16" s="5" t="str">
        <f>LEFT(PRODUCT_DB[Product ID],2)</f>
        <v>25</v>
      </c>
      <c r="I16" s="5" t="str">
        <f>RIGHT(PRODUCT_DB[Product ID],2)</f>
        <v>AU</v>
      </c>
      <c r="J16" s="5" t="str">
        <f>MID(PRODUCT_DB[Product ID],4,3)</f>
        <v>NOV</v>
      </c>
      <c r="K16" s="3"/>
      <c r="L16" s="11" t="s">
        <v>122</v>
      </c>
      <c r="M16" s="11" t="s">
        <v>125</v>
      </c>
      <c r="N16" s="11" t="s">
        <v>126</v>
      </c>
    </row>
    <row r="17" spans="1:14" ht="18" customHeight="1" x14ac:dyDescent="0.25">
      <c r="A17" s="3" t="s">
        <v>43</v>
      </c>
      <c r="B17" s="3" t="s">
        <v>15</v>
      </c>
      <c r="C17" s="3" t="s">
        <v>44</v>
      </c>
      <c r="D17" s="3">
        <v>120</v>
      </c>
      <c r="E17" s="3">
        <v>35</v>
      </c>
      <c r="F17" s="3" t="s">
        <v>17</v>
      </c>
      <c r="G17" s="3" t="str">
        <f>IF(PRODUCT_DB[[#This Row],[Price ($)]]&gt;=500,"High price","Standard Price")</f>
        <v>Standard Price</v>
      </c>
      <c r="H17" s="3" t="str">
        <f>LEFT(PRODUCT_DB[Product ID],2)</f>
        <v>08</v>
      </c>
      <c r="I17" s="3" t="str">
        <f>RIGHT(PRODUCT_DB[Product ID],2)</f>
        <v>DE</v>
      </c>
      <c r="J17" s="3" t="str">
        <f>MID(PRODUCT_DB[Product ID],4,3)</f>
        <v>DEC</v>
      </c>
      <c r="K17" s="3"/>
      <c r="L17" s="13" t="s">
        <v>129</v>
      </c>
      <c r="M17" s="13" t="s">
        <v>131</v>
      </c>
      <c r="N17" s="13">
        <f>SUMIF(PRODUCT_DB[Category],"Electronics",PRODUCT_DB[Price ($)])</f>
        <v>8050</v>
      </c>
    </row>
    <row r="18" spans="1:14" ht="18" customHeight="1" x14ac:dyDescent="0.25">
      <c r="A18" s="5" t="s">
        <v>45</v>
      </c>
      <c r="B18" s="5" t="s">
        <v>46</v>
      </c>
      <c r="C18" s="5" t="s">
        <v>47</v>
      </c>
      <c r="D18" s="5">
        <v>150</v>
      </c>
      <c r="E18" s="5">
        <v>15</v>
      </c>
      <c r="F18" s="5" t="s">
        <v>9</v>
      </c>
      <c r="G18" s="5" t="str">
        <f>IF(PRODUCT_DB[[#This Row],[Price ($)]]&gt;=500,"High price","Standard Price")</f>
        <v>Standard Price</v>
      </c>
      <c r="H18" s="5" t="str">
        <f>LEFT(PRODUCT_DB[Product ID],2)</f>
        <v>18</v>
      </c>
      <c r="I18" s="5" t="str">
        <f>RIGHT(PRODUCT_DB[Product ID],2)</f>
        <v>CA</v>
      </c>
      <c r="J18" s="5" t="str">
        <f>MID(PRODUCT_DB[Product ID],4,3)</f>
        <v>FEB</v>
      </c>
      <c r="K18" s="3"/>
      <c r="L18" s="13" t="s">
        <v>130</v>
      </c>
      <c r="M18" s="13" t="s">
        <v>132</v>
      </c>
      <c r="N18" s="13">
        <f>COUNTIF(PRODUCT_DB[Price ($)],"&lt;100")</f>
        <v>11</v>
      </c>
    </row>
    <row r="19" spans="1:14" ht="18" customHeight="1" x14ac:dyDescent="0.25">
      <c r="A19" s="3" t="s">
        <v>48</v>
      </c>
      <c r="B19" s="3" t="s">
        <v>26</v>
      </c>
      <c r="C19" s="3" t="s">
        <v>49</v>
      </c>
      <c r="D19" s="3">
        <v>250</v>
      </c>
      <c r="E19" s="3">
        <v>20</v>
      </c>
      <c r="F19" s="3" t="s">
        <v>9</v>
      </c>
      <c r="G19" s="3" t="str">
        <f>IF(PRODUCT_DB[[#This Row],[Price ($)]]&gt;=500,"High price","Standard Price")</f>
        <v>Standard Price</v>
      </c>
      <c r="H19" s="3" t="str">
        <f>LEFT(PRODUCT_DB[Product ID],2)</f>
        <v>16</v>
      </c>
      <c r="I19" s="3" t="str">
        <f>RIGHT(PRODUCT_DB[Product ID],2)</f>
        <v>ES</v>
      </c>
      <c r="J19" s="3" t="str">
        <f>MID(PRODUCT_DB[Product ID],4,3)</f>
        <v>APR</v>
      </c>
      <c r="K19" s="3"/>
    </row>
    <row r="20" spans="1:14" ht="18" customHeight="1" x14ac:dyDescent="0.25">
      <c r="A20" s="5" t="s">
        <v>50</v>
      </c>
      <c r="B20" s="10" t="s">
        <v>51</v>
      </c>
      <c r="C20" s="5" t="s">
        <v>52</v>
      </c>
      <c r="D20" s="5">
        <v>50</v>
      </c>
      <c r="E20" s="5">
        <v>35</v>
      </c>
      <c r="F20" s="5" t="s">
        <v>53</v>
      </c>
      <c r="G20" s="5" t="str">
        <f>IF(PRODUCT_DB[[#This Row],[Price ($)]]&gt;=500,"High price","Standard Price")</f>
        <v>Standard Price</v>
      </c>
      <c r="H20" s="5" t="str">
        <f>LEFT(PRODUCT_DB[Product ID],2)</f>
        <v>21</v>
      </c>
      <c r="I20" s="5" t="str">
        <f>RIGHT(PRODUCT_DB[Product ID],2)</f>
        <v>CA</v>
      </c>
      <c r="J20" s="5" t="str">
        <f>MID(PRODUCT_DB[Product ID],4,3)</f>
        <v>AUG</v>
      </c>
      <c r="K20" s="3"/>
    </row>
    <row r="21" spans="1:14" ht="18" customHeight="1" x14ac:dyDescent="0.25">
      <c r="A21" s="3" t="s">
        <v>54</v>
      </c>
      <c r="B21" s="3" t="s">
        <v>46</v>
      </c>
      <c r="C21" s="3" t="s">
        <v>55</v>
      </c>
      <c r="D21" s="3">
        <v>160</v>
      </c>
      <c r="E21" s="3">
        <v>15</v>
      </c>
      <c r="F21" s="3" t="s">
        <v>9</v>
      </c>
      <c r="G21" s="3" t="str">
        <f>IF(PRODUCT_DB[[#This Row],[Price ($)]]&gt;=500,"High price","Standard Price")</f>
        <v>Standard Price</v>
      </c>
      <c r="H21" s="3" t="str">
        <f>LEFT(PRODUCT_DB[Product ID],2)</f>
        <v>20</v>
      </c>
      <c r="I21" s="3" t="str">
        <f>RIGHT(PRODUCT_DB[Product ID],2)</f>
        <v>CN</v>
      </c>
      <c r="J21" s="3" t="str">
        <f>MID(PRODUCT_DB[Product ID],4,3)</f>
        <v>AUG</v>
      </c>
      <c r="K21" s="3"/>
    </row>
    <row r="22" spans="1:14" ht="18" customHeight="1" x14ac:dyDescent="0.25">
      <c r="A22" s="5" t="s">
        <v>56</v>
      </c>
      <c r="B22" s="5" t="s">
        <v>7</v>
      </c>
      <c r="C22" s="5" t="s">
        <v>57</v>
      </c>
      <c r="D22" s="5">
        <v>980</v>
      </c>
      <c r="E22" s="5">
        <v>10</v>
      </c>
      <c r="F22" s="5" t="s">
        <v>9</v>
      </c>
      <c r="G22" s="5" t="str">
        <f>IF(PRODUCT_DB[[#This Row],[Price ($)]]&gt;=500,"High price","Standard Price")</f>
        <v>High price</v>
      </c>
      <c r="H22" s="5" t="str">
        <f>LEFT(PRODUCT_DB[Product ID],2)</f>
        <v>27</v>
      </c>
      <c r="I22" s="5" t="str">
        <f>RIGHT(PRODUCT_DB[Product ID],2)</f>
        <v>IT</v>
      </c>
      <c r="J22" s="5" t="str">
        <f>MID(PRODUCT_DB[Product ID],4,3)</f>
        <v>JAN</v>
      </c>
      <c r="K22" s="3"/>
    </row>
    <row r="23" spans="1:14" ht="18" customHeight="1" x14ac:dyDescent="0.25">
      <c r="A23" s="3" t="s">
        <v>58</v>
      </c>
      <c r="B23" s="9" t="s">
        <v>59</v>
      </c>
      <c r="C23" s="3" t="s">
        <v>60</v>
      </c>
      <c r="D23" s="3">
        <v>150</v>
      </c>
      <c r="E23" s="3">
        <v>15</v>
      </c>
      <c r="F23" s="3" t="s">
        <v>13</v>
      </c>
      <c r="G23" s="3" t="str">
        <f>IF(PRODUCT_DB[[#This Row],[Price ($)]]&gt;=500,"High price","Standard Price")</f>
        <v>Standard Price</v>
      </c>
      <c r="H23" s="3" t="str">
        <f>LEFT(PRODUCT_DB[Product ID],2)</f>
        <v>01</v>
      </c>
      <c r="I23" s="3" t="str">
        <f>RIGHT(PRODUCT_DB[Product ID],2)</f>
        <v>UK</v>
      </c>
      <c r="J23" s="3" t="str">
        <f>MID(PRODUCT_DB[Product ID],4,3)</f>
        <v>MAR</v>
      </c>
      <c r="K23" s="3"/>
    </row>
    <row r="24" spans="1:14" ht="18" customHeight="1" x14ac:dyDescent="0.25">
      <c r="A24" s="5" t="s">
        <v>61</v>
      </c>
      <c r="B24" s="5" t="s">
        <v>62</v>
      </c>
      <c r="C24" s="5" t="s">
        <v>63</v>
      </c>
      <c r="D24" s="5">
        <v>200</v>
      </c>
      <c r="E24" s="5">
        <v>10</v>
      </c>
      <c r="F24" s="5" t="s">
        <v>24</v>
      </c>
      <c r="G24" s="5" t="str">
        <f>IF(PRODUCT_DB[[#This Row],[Price ($)]]&gt;=500,"High price","Standard Price")</f>
        <v>Standard Price</v>
      </c>
      <c r="H24" s="5" t="str">
        <f>LEFT(PRODUCT_DB[Product ID],2)</f>
        <v>14</v>
      </c>
      <c r="I24" s="5" t="str">
        <f>RIGHT(PRODUCT_DB[Product ID],2)</f>
        <v>US</v>
      </c>
      <c r="J24" s="5" t="str">
        <f>MID(PRODUCT_DB[Product ID],4,3)</f>
        <v>AUG</v>
      </c>
      <c r="K24" s="3"/>
    </row>
    <row r="25" spans="1:14" ht="18" customHeight="1" x14ac:dyDescent="0.25">
      <c r="A25" s="3" t="s">
        <v>64</v>
      </c>
      <c r="B25" s="3" t="s">
        <v>65</v>
      </c>
      <c r="C25" s="3" t="s">
        <v>66</v>
      </c>
      <c r="D25" s="3">
        <v>700</v>
      </c>
      <c r="E25" s="3">
        <v>50</v>
      </c>
      <c r="F25" s="3" t="s">
        <v>9</v>
      </c>
      <c r="G25" s="3" t="str">
        <f>IF(PRODUCT_DB[[#This Row],[Price ($)]]&gt;=500,"High price","Standard Price")</f>
        <v>High price</v>
      </c>
      <c r="H25" s="3" t="str">
        <f>LEFT(PRODUCT_DB[Product ID],2)</f>
        <v>14</v>
      </c>
      <c r="I25" s="3" t="str">
        <f>RIGHT(PRODUCT_DB[Product ID],2)</f>
        <v>RU</v>
      </c>
      <c r="J25" s="3" t="str">
        <f>MID(PRODUCT_DB[Product ID],4,3)</f>
        <v>MAY</v>
      </c>
      <c r="K25" s="3"/>
    </row>
    <row r="26" spans="1:14" ht="18" customHeight="1" x14ac:dyDescent="0.25">
      <c r="A26" s="5" t="s">
        <v>67</v>
      </c>
      <c r="B26" s="5" t="s">
        <v>68</v>
      </c>
      <c r="C26" s="5" t="s">
        <v>69</v>
      </c>
      <c r="D26" s="5">
        <v>80</v>
      </c>
      <c r="E26" s="5">
        <v>20</v>
      </c>
      <c r="F26" s="5" t="s">
        <v>17</v>
      </c>
      <c r="G26" s="5" t="str">
        <f>IF(PRODUCT_DB[[#This Row],[Price ($)]]&gt;=500,"High price","Standard Price")</f>
        <v>Standard Price</v>
      </c>
      <c r="H26" s="5" t="str">
        <f>LEFT(PRODUCT_DB[Product ID],2)</f>
        <v>09</v>
      </c>
      <c r="I26" s="5" t="str">
        <f>RIGHT(PRODUCT_DB[Product ID],2)</f>
        <v>CA</v>
      </c>
      <c r="J26" s="5" t="str">
        <f>MID(PRODUCT_DB[Product ID],4,3)</f>
        <v>JAN</v>
      </c>
      <c r="K26" s="3"/>
    </row>
    <row r="27" spans="1:14" ht="18" customHeight="1" x14ac:dyDescent="0.25">
      <c r="A27" s="3" t="s">
        <v>70</v>
      </c>
      <c r="B27" s="3" t="s">
        <v>71</v>
      </c>
      <c r="C27" s="3" t="s">
        <v>72</v>
      </c>
      <c r="D27" s="3">
        <v>150</v>
      </c>
      <c r="E27" s="3">
        <v>30</v>
      </c>
      <c r="F27" s="3" t="s">
        <v>9</v>
      </c>
      <c r="G27" s="3" t="str">
        <f>IF(PRODUCT_DB[[#This Row],[Price ($)]]&gt;=500,"High price","Standard Price")</f>
        <v>Standard Price</v>
      </c>
      <c r="H27" s="3" t="str">
        <f>LEFT(PRODUCT_DB[Product ID],2)</f>
        <v>19</v>
      </c>
      <c r="I27" s="3" t="str">
        <f>RIGHT(PRODUCT_DB[Product ID],2)</f>
        <v>BR</v>
      </c>
      <c r="J27" s="3" t="str">
        <f>MID(PRODUCT_DB[Product ID],4,3)</f>
        <v>JUL</v>
      </c>
      <c r="K27" s="3"/>
    </row>
    <row r="28" spans="1:14" ht="18" customHeight="1" x14ac:dyDescent="0.25">
      <c r="A28" s="5" t="s">
        <v>50</v>
      </c>
      <c r="B28" s="5" t="s">
        <v>51</v>
      </c>
      <c r="C28" s="5" t="s">
        <v>52</v>
      </c>
      <c r="D28" s="5">
        <v>50</v>
      </c>
      <c r="E28" s="5">
        <v>35</v>
      </c>
      <c r="F28" s="5" t="s">
        <v>53</v>
      </c>
      <c r="G28" s="5" t="str">
        <f>IF(PRODUCT_DB[[#This Row],[Price ($)]]&gt;=500,"High price","Standard Price")</f>
        <v>Standard Price</v>
      </c>
      <c r="H28" s="5" t="str">
        <f>LEFT(PRODUCT_DB[Product ID],2)</f>
        <v>21</v>
      </c>
      <c r="I28" s="5" t="str">
        <f>RIGHT(PRODUCT_DB[Product ID],2)</f>
        <v>CA</v>
      </c>
      <c r="J28" s="5" t="str">
        <f>MID(PRODUCT_DB[Product ID],4,3)</f>
        <v>AUG</v>
      </c>
      <c r="K28" s="6"/>
    </row>
    <row r="29" spans="1:14" ht="18" customHeight="1" x14ac:dyDescent="0.25">
      <c r="A29" s="3" t="s">
        <v>73</v>
      </c>
      <c r="B29" s="3" t="s">
        <v>19</v>
      </c>
      <c r="C29" s="3" t="s">
        <v>74</v>
      </c>
      <c r="D29" s="3">
        <v>800</v>
      </c>
      <c r="E29" s="3">
        <v>45</v>
      </c>
      <c r="F29" s="3" t="s">
        <v>9</v>
      </c>
      <c r="G29" s="3" t="str">
        <f>IF(PRODUCT_DB[[#This Row],[Price ($)]]&gt;=500,"High price","Standard Price")</f>
        <v>High price</v>
      </c>
      <c r="H29" s="3" t="str">
        <f>LEFT(PRODUCT_DB[Product ID],2)</f>
        <v>29</v>
      </c>
      <c r="I29" s="3" t="str">
        <f>RIGHT(PRODUCT_DB[Product ID],2)</f>
        <v>CA</v>
      </c>
      <c r="J29" s="3" t="str">
        <f>MID(PRODUCT_DB[Product ID],4,3)</f>
        <v>SEP</v>
      </c>
      <c r="K29" s="3"/>
    </row>
    <row r="30" spans="1:14" ht="18" customHeight="1" x14ac:dyDescent="0.25">
      <c r="A30" s="5" t="s">
        <v>75</v>
      </c>
      <c r="B30" s="5" t="s">
        <v>59</v>
      </c>
      <c r="C30" s="5" t="s">
        <v>76</v>
      </c>
      <c r="D30" s="5">
        <v>130</v>
      </c>
      <c r="E30" s="5">
        <v>25</v>
      </c>
      <c r="F30" s="5" t="s">
        <v>13</v>
      </c>
      <c r="G30" s="5" t="str">
        <f>IF(PRODUCT_DB[[#This Row],[Price ($)]]&gt;=500,"High price","Standard Price")</f>
        <v>Standard Price</v>
      </c>
      <c r="H30" s="5" t="str">
        <f>LEFT(PRODUCT_DB[Product ID],2)</f>
        <v>03</v>
      </c>
      <c r="I30" s="5" t="str">
        <f>RIGHT(PRODUCT_DB[Product ID],2)</f>
        <v>CA</v>
      </c>
      <c r="J30" s="5" t="str">
        <f>MID(PRODUCT_DB[Product ID],4,3)</f>
        <v>JUN</v>
      </c>
      <c r="K30" s="3"/>
    </row>
    <row r="31" spans="1:14" ht="18" customHeight="1" x14ac:dyDescent="0.25">
      <c r="A31" s="3" t="s">
        <v>77</v>
      </c>
      <c r="B31" s="3" t="s">
        <v>32</v>
      </c>
      <c r="C31" s="3" t="s">
        <v>78</v>
      </c>
      <c r="D31" s="3">
        <v>400</v>
      </c>
      <c r="E31" s="3">
        <v>40</v>
      </c>
      <c r="F31" s="3" t="s">
        <v>17</v>
      </c>
      <c r="G31" s="3" t="str">
        <f>IF(PRODUCT_DB[[#This Row],[Price ($)]]&gt;=500,"High price","Standard Price")</f>
        <v>Standard Price</v>
      </c>
      <c r="H31" s="3" t="str">
        <f>LEFT(PRODUCT_DB[Product ID],2)</f>
        <v>11</v>
      </c>
      <c r="I31" s="3" t="str">
        <f>RIGHT(PRODUCT_DB[Product ID],2)</f>
        <v>CA</v>
      </c>
      <c r="J31" s="3" t="str">
        <f>MID(PRODUCT_DB[Product ID],4,3)</f>
        <v>JUL</v>
      </c>
      <c r="K31" s="3"/>
    </row>
    <row r="32" spans="1:14" ht="18" customHeight="1" x14ac:dyDescent="0.25">
      <c r="A32" s="5" t="s">
        <v>48</v>
      </c>
      <c r="B32" s="5" t="s">
        <v>26</v>
      </c>
      <c r="C32" s="5" t="s">
        <v>49</v>
      </c>
      <c r="D32" s="5">
        <v>230</v>
      </c>
      <c r="E32" s="5">
        <v>20</v>
      </c>
      <c r="F32" s="5" t="s">
        <v>9</v>
      </c>
      <c r="G32" s="5" t="str">
        <f>IF(PRODUCT_DB[[#This Row],[Price ($)]]&gt;=500,"High price","Standard Price")</f>
        <v>Standard Price</v>
      </c>
      <c r="H32" s="5" t="str">
        <f>LEFT(PRODUCT_DB[Product ID],2)</f>
        <v>16</v>
      </c>
      <c r="I32" s="5" t="str">
        <f>RIGHT(PRODUCT_DB[Product ID],2)</f>
        <v>ES</v>
      </c>
      <c r="J32" s="5" t="str">
        <f>MID(PRODUCT_DB[Product ID],4,3)</f>
        <v>APR</v>
      </c>
      <c r="K32" s="6"/>
    </row>
    <row r="33" spans="1:11" ht="18" customHeight="1" x14ac:dyDescent="0.25">
      <c r="A33" s="3" t="s">
        <v>79</v>
      </c>
      <c r="B33" s="3" t="s">
        <v>80</v>
      </c>
      <c r="C33" s="3" t="s">
        <v>81</v>
      </c>
      <c r="D33" s="3">
        <v>60</v>
      </c>
      <c r="E33" s="3">
        <v>30</v>
      </c>
      <c r="F33" s="3" t="s">
        <v>13</v>
      </c>
      <c r="G33" s="3" t="str">
        <f>IF(PRODUCT_DB[[#This Row],[Price ($)]]&gt;=500,"High price","Standard Price")</f>
        <v>Standard Price</v>
      </c>
      <c r="H33" s="3" t="str">
        <f>LEFT(PRODUCT_DB[Product ID],2)</f>
        <v>07</v>
      </c>
      <c r="I33" s="3" t="str">
        <f>RIGHT(PRODUCT_DB[Product ID],2)</f>
        <v>CA</v>
      </c>
      <c r="J33" s="3" t="str">
        <f>MID(PRODUCT_DB[Product ID],4,3)</f>
        <v>MAR</v>
      </c>
      <c r="K33" s="3"/>
    </row>
    <row r="34" spans="1:11" ht="18" customHeight="1" x14ac:dyDescent="0.25">
      <c r="A34" s="5" t="s">
        <v>82</v>
      </c>
      <c r="B34" s="5" t="s">
        <v>83</v>
      </c>
      <c r="C34" s="5" t="s">
        <v>84</v>
      </c>
      <c r="D34" s="5">
        <v>40</v>
      </c>
      <c r="E34" s="5">
        <v>10</v>
      </c>
      <c r="F34" s="5" t="s">
        <v>17</v>
      </c>
      <c r="G34" s="5" t="str">
        <f>IF(PRODUCT_DB[[#This Row],[Price ($)]]&gt;=500,"High price","Standard Price")</f>
        <v>Standard Price</v>
      </c>
      <c r="H34" s="5" t="str">
        <f>LEFT(PRODUCT_DB[Product ID],2)</f>
        <v>13</v>
      </c>
      <c r="I34" s="5" t="str">
        <f>RIGHT(PRODUCT_DB[Product ID],2)</f>
        <v>CA</v>
      </c>
      <c r="J34" s="5" t="str">
        <f>MID(PRODUCT_DB[Product ID],4,3)</f>
        <v>APR</v>
      </c>
      <c r="K34" s="3"/>
    </row>
    <row r="35" spans="1:11" ht="18" customHeight="1" x14ac:dyDescent="0.25">
      <c r="A35" s="3" t="s">
        <v>85</v>
      </c>
      <c r="B35" s="3" t="s">
        <v>71</v>
      </c>
      <c r="C35" s="3" t="s">
        <v>86</v>
      </c>
      <c r="D35" s="3">
        <v>130</v>
      </c>
      <c r="E35" s="3">
        <v>5</v>
      </c>
      <c r="F35" s="3" t="s">
        <v>9</v>
      </c>
      <c r="G35" s="3" t="str">
        <f>IF(PRODUCT_DB[[#This Row],[Price ($)]]&gt;=500,"High price","Standard Price")</f>
        <v>Standard Price</v>
      </c>
      <c r="H35" s="3" t="str">
        <f>LEFT(PRODUCT_DB[Product ID],2)</f>
        <v>24</v>
      </c>
      <c r="I35" s="3" t="str">
        <f>RIGHT(PRODUCT_DB[Product ID],2)</f>
        <v>CA</v>
      </c>
      <c r="J35" s="3" t="str">
        <f>MID(PRODUCT_DB[Product ID],4,3)</f>
        <v>MAY</v>
      </c>
      <c r="K35" s="3"/>
    </row>
    <row r="36" spans="1:11" ht="18" customHeight="1" x14ac:dyDescent="0.25">
      <c r="A36" s="5" t="s">
        <v>87</v>
      </c>
      <c r="B36" s="5" t="s">
        <v>88</v>
      </c>
      <c r="C36" s="5" t="s">
        <v>89</v>
      </c>
      <c r="D36" s="5">
        <v>50</v>
      </c>
      <c r="E36" s="5">
        <v>50</v>
      </c>
      <c r="F36" s="5" t="s">
        <v>13</v>
      </c>
      <c r="G36" s="5" t="str">
        <f>IF(PRODUCT_DB[[#This Row],[Price ($)]]&gt;=500,"High price","Standard Price")</f>
        <v>Standard Price</v>
      </c>
      <c r="H36" s="5" t="str">
        <f>LEFT(PRODUCT_DB[Product ID],2)</f>
        <v>02</v>
      </c>
      <c r="I36" s="5" t="str">
        <f>RIGHT(PRODUCT_DB[Product ID],2)</f>
        <v>CA</v>
      </c>
      <c r="J36" s="5" t="str">
        <f>MID(PRODUCT_DB[Product ID],4,3)</f>
        <v>DEC</v>
      </c>
      <c r="K36" s="3"/>
    </row>
    <row r="37" spans="1:11" ht="18" customHeight="1" x14ac:dyDescent="0.25">
      <c r="A37" s="3" t="s">
        <v>40</v>
      </c>
      <c r="B37" s="3" t="s">
        <v>7</v>
      </c>
      <c r="C37" s="3" t="s">
        <v>41</v>
      </c>
      <c r="D37" s="3">
        <v>950</v>
      </c>
      <c r="E37" s="3">
        <v>25</v>
      </c>
      <c r="F37" s="3" t="s">
        <v>9</v>
      </c>
      <c r="G37" s="3" t="str">
        <f>IF(PRODUCT_DB[[#This Row],[Price ($)]]&gt;=500,"High price","Standard Price")</f>
        <v>High price</v>
      </c>
      <c r="H37" s="3" t="str">
        <f>LEFT(PRODUCT_DB[Product ID],2)</f>
        <v>17</v>
      </c>
      <c r="I37" s="3" t="str">
        <f>RIGHT(PRODUCT_DB[Product ID],2)</f>
        <v>IN</v>
      </c>
      <c r="J37" s="3" t="str">
        <f>MID(PRODUCT_DB[Product ID],4,3)</f>
        <v>JUN</v>
      </c>
      <c r="K37" s="3"/>
    </row>
    <row r="38" spans="1:11" ht="18" customHeight="1" x14ac:dyDescent="0.25">
      <c r="A38" s="5" t="s">
        <v>90</v>
      </c>
      <c r="B38" s="5" t="s">
        <v>91</v>
      </c>
      <c r="C38" s="5" t="s">
        <v>92</v>
      </c>
      <c r="D38" s="5">
        <v>100</v>
      </c>
      <c r="E38" s="5">
        <v>20</v>
      </c>
      <c r="F38" s="5" t="s">
        <v>53</v>
      </c>
      <c r="G38" s="5" t="str">
        <f>IF(PRODUCT_DB[[#This Row],[Price ($)]]&gt;=500,"High price","Standard Price")</f>
        <v>Standard Price</v>
      </c>
      <c r="H38" s="5" t="str">
        <f>LEFT(PRODUCT_DB[Product ID],2)</f>
        <v>09</v>
      </c>
      <c r="I38" s="5" t="str">
        <f>RIGHT(PRODUCT_DB[Product ID],2)</f>
        <v>FR</v>
      </c>
      <c r="J38" s="5" t="str">
        <f>MID(PRODUCT_DB[Product ID],4,3)</f>
        <v>JUL</v>
      </c>
      <c r="K38" s="3"/>
    </row>
  </sheetData>
  <mergeCells count="5">
    <mergeCell ref="A1:O1"/>
    <mergeCell ref="L4:N4"/>
    <mergeCell ref="L10:N10"/>
    <mergeCell ref="L15:N15"/>
    <mergeCell ref="A3:F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2026-06-04T17:53:04Z</dcterms:modified>
</cp:coreProperties>
</file>